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b3f511b5f74131/Desktop/"/>
    </mc:Choice>
  </mc:AlternateContent>
  <xr:revisionPtr revIDLastSave="20" documentId="8_{E161A3C4-9D9D-4E56-B69A-8A5FB4EC51E9}" xr6:coauthVersionLast="47" xr6:coauthVersionMax="47" xr10:uidLastSave="{02F7DAE9-5063-404F-AD53-0D0E69011352}"/>
  <bookViews>
    <workbookView xWindow="-108" yWindow="-108" windowWidth="23256" windowHeight="12456" xr2:uid="{F0B2B3A0-1C1F-4A3C-926B-7B567ED62CC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0" i="1" l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K9" i="1"/>
  <c r="AJ9" i="1"/>
  <c r="B6" i="1"/>
  <c r="C6" i="1" s="1"/>
  <c r="D8" i="1" l="1"/>
  <c r="E8" i="1" l="1"/>
  <c r="D7" i="1"/>
  <c r="F8" i="1" l="1"/>
  <c r="E7" i="1"/>
  <c r="G8" i="1" l="1"/>
  <c r="F7" i="1"/>
  <c r="H8" i="1" l="1"/>
  <c r="G7" i="1"/>
  <c r="I8" i="1" l="1"/>
  <c r="H7" i="1"/>
  <c r="J8" i="1" l="1"/>
  <c r="I7" i="1"/>
  <c r="K8" i="1" l="1"/>
  <c r="J7" i="1"/>
  <c r="L8" i="1" l="1"/>
  <c r="K7" i="1"/>
  <c r="M8" i="1" l="1"/>
  <c r="L7" i="1"/>
  <c r="N8" i="1" l="1"/>
  <c r="M7" i="1"/>
  <c r="O8" i="1" l="1"/>
  <c r="N7" i="1"/>
  <c r="P8" i="1" l="1"/>
  <c r="O7" i="1"/>
  <c r="Q8" i="1" l="1"/>
  <c r="P7" i="1"/>
  <c r="R8" i="1" l="1"/>
  <c r="Q7" i="1"/>
  <c r="S8" i="1" l="1"/>
  <c r="R7" i="1"/>
  <c r="T8" i="1" l="1"/>
  <c r="S7" i="1"/>
  <c r="U8" i="1" l="1"/>
  <c r="T7" i="1"/>
  <c r="V8" i="1" l="1"/>
  <c r="U7" i="1"/>
  <c r="W8" i="1" l="1"/>
  <c r="V7" i="1"/>
  <c r="X8" i="1" l="1"/>
  <c r="W7" i="1"/>
  <c r="Y8" i="1" l="1"/>
  <c r="X7" i="1"/>
  <c r="Z8" i="1" l="1"/>
  <c r="Y7" i="1"/>
  <c r="AA8" i="1" l="1"/>
  <c r="Z7" i="1"/>
  <c r="AB8" i="1" l="1"/>
  <c r="AA7" i="1"/>
  <c r="AC8" i="1" l="1"/>
  <c r="AB7" i="1"/>
  <c r="AD8" i="1" l="1"/>
  <c r="AC7" i="1"/>
  <c r="AE8" i="1" l="1"/>
  <c r="AD7" i="1"/>
  <c r="AF8" i="1" l="1"/>
  <c r="AE7" i="1"/>
  <c r="AG8" i="1" l="1"/>
  <c r="AF7" i="1"/>
  <c r="AH8" i="1" l="1"/>
  <c r="AH7" i="1" s="1"/>
  <c r="AG7" i="1"/>
</calcChain>
</file>

<file path=xl/sharedStrings.xml><?xml version="1.0" encoding="utf-8"?>
<sst xmlns="http://schemas.openxmlformats.org/spreadsheetml/2006/main" count="59" uniqueCount="58">
  <si>
    <t>Month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</si>
  <si>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</si>
  <si>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</si>
  <si>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</si>
  <si>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</si>
  <si>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</si>
  <si>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</si>
  <si>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</si>
  <si>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</si>
  <si>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</si>
  <si>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</si>
  <si>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</si>
  <si>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</si>
  <si>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</si>
  <si>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Neelotpal Raj</t>
  </si>
  <si>
    <t>Ayushman Singh</t>
  </si>
  <si>
    <t>Shanu Singh</t>
  </si>
  <si>
    <t>Virat Kohli</t>
  </si>
  <si>
    <t>MS Dhoni</t>
  </si>
  <si>
    <t>Rohit Sharma</t>
  </si>
  <si>
    <t>Shreyash Iyer</t>
  </si>
  <si>
    <t>Rishabh Pant</t>
  </si>
  <si>
    <t>Vedansh Raj</t>
  </si>
  <si>
    <t>Bumrah</t>
  </si>
  <si>
    <t>Hardik</t>
  </si>
  <si>
    <t>Nitish K R</t>
  </si>
  <si>
    <t>Harshal</t>
  </si>
  <si>
    <t>Anish Singh</t>
  </si>
  <si>
    <t>Piyush Singh</t>
  </si>
  <si>
    <t>Vipul Singh</t>
  </si>
  <si>
    <t>Sumit Maurya</t>
  </si>
  <si>
    <t>Anshul Pal</t>
  </si>
  <si>
    <t>Yashasvi Raj</t>
  </si>
  <si>
    <t>EMP 100</t>
  </si>
  <si>
    <t>EMP 101</t>
  </si>
  <si>
    <t>EMP 102</t>
  </si>
  <si>
    <t>EMP 103</t>
  </si>
  <si>
    <t>EMP 104</t>
  </si>
  <si>
    <t>EMP 105</t>
  </si>
  <si>
    <t>EMP 106</t>
  </si>
  <si>
    <t>EMP 107</t>
  </si>
  <si>
    <t>EMP 108</t>
  </si>
  <si>
    <t>EMP 109</t>
  </si>
  <si>
    <t>EMP 110</t>
  </si>
  <si>
    <t>EMP 111</t>
  </si>
  <si>
    <t>EMP 112</t>
  </si>
  <si>
    <t>EMP 113</t>
  </si>
  <si>
    <t>EMP 114</t>
  </si>
  <si>
    <t>EMP 115</t>
  </si>
  <si>
    <t>EMP 116</t>
  </si>
  <si>
    <t>EMP 117</t>
  </si>
  <si>
    <t>EMP 118</t>
  </si>
  <si>
    <t>P</t>
  </si>
  <si>
    <t>A</t>
  </si>
  <si>
    <t>Emp. ID</t>
  </si>
  <si>
    <t>Emp. Name</t>
  </si>
  <si>
    <t>EMPLOYEE ATTENDANCE TRACKER</t>
  </si>
  <si>
    <t>XYZco. IT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</si>
</sst>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rgb="FFE96F01"/>
      <name val="Britannic Bold"/>
      <family val="2"/>
    </font>
    <font>
      <b/>
      <sz val="45"/>
      <color rgb="FFE96F01"/>
      <name val="Algerian"/>
      <family val="5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lgerian"/>
      <family val="5"/>
    </font>
    <font>
      <sz val="18"/>
      <color theme="0"/>
      <name val="Bernard MT Condensed"/>
      <family val="1"/>
    </font>
    <font>
      <sz val="20"/>
      <color theme="0"/>
      <name val="Bernard MT Condensed"/>
      <family val="1"/>
    </font>
    <font>
      <sz val="11"/>
      <color theme="1"/>
      <name val="Arial Rounded MT Bold"/>
      <family val="2"/>
    </font>
    <font>
      <b/>
      <sz val="11"/>
      <color theme="0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E96F0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14" fontId="5" fillId="0" borderId="18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0" fillId="0" borderId="9" xfId="0" applyBorder="1"/>
    <xf numFmtId="0" fontId="6" fillId="0" borderId="2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0" fillId="0" borderId="0" xfId="0" applyFont="1" applyAlignment="1">
      <alignment textRotation="90"/>
    </xf>
    <xf numFmtId="164" fontId="10" fillId="0" borderId="0" xfId="0" applyNumberFormat="1" applyFont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28A00"/>
          <bgColor rgb="FFE96F0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numFmt numFmtId="0" formatCode="General"/>
      <fill>
        <patternFill>
          <bgColor theme="5" tint="0.59996337778862885"/>
        </patternFill>
      </fill>
    </dxf>
    <dxf>
      <fill>
        <patternFill>
          <bgColor rgb="FFE96F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E96F01"/>
      <color rgb="FFF47A0C"/>
      <color rgb="FFFF9900"/>
      <color rgb="FFF28A00"/>
      <color rgb="FFF4740A"/>
      <color rgb="FFFE89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025FB-103D-4B88-BA88-E66570B52386}">
  <dimension ref="B1:AP28"/>
  <sheetViews>
    <sheetView showGridLines="0" tabSelected="1" zoomScaleNormal="100" workbookViewId="0">
      <selection activeCell="N31" sqref="N31"/>
    </sheetView>
  </sheetViews>
  <sheetFormatPr defaultRowHeight="14.4" x14ac:dyDescent="0.3"/>
  <cols>
    <col min="2" max="3" width="21.77734375" customWidth="1"/>
    <col min="4" max="53" width="4.33203125" customWidth="1"/>
  </cols>
  <sheetData>
    <row r="1" spans="2:42" ht="7.2" customHeight="1" thickBot="1" x14ac:dyDescent="0.35"/>
    <row r="2" spans="2:42" ht="14.4" customHeight="1" x14ac:dyDescent="0.3">
      <c r="B2" s="20" t="s">
        <v>57</v>
      </c>
      <c r="C2" s="21"/>
      <c r="D2" s="30" t="s">
        <v>56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2"/>
    </row>
    <row r="3" spans="2:42" ht="14.4" customHeight="1" thickBot="1" x14ac:dyDescent="0.35">
      <c r="B3" s="22"/>
      <c r="C3" s="23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5"/>
    </row>
    <row r="4" spans="2:42" ht="14.4" customHeight="1" x14ac:dyDescent="0.3">
      <c r="B4" s="8" t="s">
        <v>0</v>
      </c>
      <c r="C4" s="7" t="s">
        <v>2</v>
      </c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5"/>
    </row>
    <row r="5" spans="2:42" ht="14.4" customHeight="1" x14ac:dyDescent="0.3">
      <c r="B5" s="9" t="s">
        <v>1</v>
      </c>
      <c r="C5" s="3">
        <v>2025</v>
      </c>
      <c r="D5" s="33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5"/>
    </row>
    <row r="6" spans="2:42" ht="15" customHeight="1" thickBot="1" x14ac:dyDescent="0.35">
      <c r="B6" s="10">
        <f>DATEVALUE("1"&amp;C4&amp;C5)</f>
        <v>45658</v>
      </c>
      <c r="C6" s="4">
        <f>EOMONTH(B6,0)</f>
        <v>45688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8"/>
    </row>
    <row r="7" spans="2:42" ht="27" customHeight="1" x14ac:dyDescent="0.3">
      <c r="B7" s="24" t="s">
        <v>54</v>
      </c>
      <c r="C7" s="25" t="s">
        <v>55</v>
      </c>
      <c r="D7" s="18" t="str">
        <f>TEXT(D8,"DDD")</f>
        <v>Wed</v>
      </c>
      <c r="E7" s="18" t="str">
        <f t="shared" ref="E7:AH7" si="0">TEXT(E8,"DDD")</f>
        <v>Thu</v>
      </c>
      <c r="F7" s="18" t="str">
        <f t="shared" si="0"/>
        <v>Fri</v>
      </c>
      <c r="G7" s="18" t="str">
        <f t="shared" si="0"/>
        <v>Sat</v>
      </c>
      <c r="H7" s="18" t="str">
        <f t="shared" si="0"/>
        <v>Sun</v>
      </c>
      <c r="I7" s="18" t="str">
        <f t="shared" si="0"/>
        <v>Mon</v>
      </c>
      <c r="J7" s="18" t="str">
        <f t="shared" si="0"/>
        <v>Tue</v>
      </c>
      <c r="K7" s="18" t="str">
        <f t="shared" si="0"/>
        <v>Wed</v>
      </c>
      <c r="L7" s="18" t="str">
        <f t="shared" si="0"/>
        <v>Thu</v>
      </c>
      <c r="M7" s="18" t="str">
        <f t="shared" si="0"/>
        <v>Fri</v>
      </c>
      <c r="N7" s="18" t="str">
        <f t="shared" si="0"/>
        <v>Sat</v>
      </c>
      <c r="O7" s="18" t="str">
        <f t="shared" si="0"/>
        <v>Sun</v>
      </c>
      <c r="P7" s="18" t="str">
        <f t="shared" si="0"/>
        <v>Mon</v>
      </c>
      <c r="Q7" s="18" t="str">
        <f t="shared" si="0"/>
        <v>Tue</v>
      </c>
      <c r="R7" s="18" t="str">
        <f t="shared" si="0"/>
        <v>Wed</v>
      </c>
      <c r="S7" s="18" t="str">
        <f t="shared" si="0"/>
        <v>Thu</v>
      </c>
      <c r="T7" s="18" t="str">
        <f t="shared" si="0"/>
        <v>Fri</v>
      </c>
      <c r="U7" s="18" t="str">
        <f t="shared" si="0"/>
        <v>Sat</v>
      </c>
      <c r="V7" s="18" t="str">
        <f t="shared" si="0"/>
        <v>Sun</v>
      </c>
      <c r="W7" s="18" t="str">
        <f t="shared" si="0"/>
        <v>Mon</v>
      </c>
      <c r="X7" s="18" t="str">
        <f t="shared" si="0"/>
        <v>Tue</v>
      </c>
      <c r="Y7" s="18" t="str">
        <f t="shared" si="0"/>
        <v>Wed</v>
      </c>
      <c r="Z7" s="18" t="str">
        <f t="shared" si="0"/>
        <v>Thu</v>
      </c>
      <c r="AA7" s="18" t="str">
        <f t="shared" si="0"/>
        <v>Fri</v>
      </c>
      <c r="AB7" s="18" t="str">
        <f t="shared" si="0"/>
        <v>Sat</v>
      </c>
      <c r="AC7" s="18" t="str">
        <f t="shared" si="0"/>
        <v>Sun</v>
      </c>
      <c r="AD7" s="18" t="str">
        <f t="shared" si="0"/>
        <v>Mon</v>
      </c>
      <c r="AE7" s="18" t="str">
        <f t="shared" si="0"/>
        <v>Tue</v>
      </c>
      <c r="AF7" s="18" t="str">
        <f t="shared" si="0"/>
        <v>Wed</v>
      </c>
      <c r="AG7" s="18" t="str">
        <f t="shared" si="0"/>
        <v>Thu</v>
      </c>
      <c r="AH7" s="18" t="str">
        <f t="shared" si="0"/>
        <v>Fri</v>
      </c>
      <c r="AJ7" s="26" t="s">
        <v>52</v>
      </c>
      <c r="AK7" s="28" t="s">
        <v>53</v>
      </c>
    </row>
    <row r="8" spans="2:42" ht="14.4" customHeight="1" x14ac:dyDescent="0.3">
      <c r="B8" s="24"/>
      <c r="C8" s="25"/>
      <c r="D8" s="19">
        <f>B6</f>
        <v>45658</v>
      </c>
      <c r="E8" s="19">
        <f>IFERROR(IF(D8+1&gt;$C$6,"",D8+1),"")</f>
        <v>45659</v>
      </c>
      <c r="F8" s="19">
        <f t="shared" ref="F8:AH8" si="1">IFERROR(IF(E8+1&gt;$C$6,"",E8+1),"")</f>
        <v>45660</v>
      </c>
      <c r="G8" s="19">
        <f t="shared" si="1"/>
        <v>45661</v>
      </c>
      <c r="H8" s="19">
        <f t="shared" si="1"/>
        <v>45662</v>
      </c>
      <c r="I8" s="19">
        <f t="shared" si="1"/>
        <v>45663</v>
      </c>
      <c r="J8" s="19">
        <f t="shared" si="1"/>
        <v>45664</v>
      </c>
      <c r="K8" s="19">
        <f t="shared" si="1"/>
        <v>45665</v>
      </c>
      <c r="L8" s="19">
        <f t="shared" si="1"/>
        <v>45666</v>
      </c>
      <c r="M8" s="19">
        <f t="shared" si="1"/>
        <v>45667</v>
      </c>
      <c r="N8" s="19">
        <f t="shared" si="1"/>
        <v>45668</v>
      </c>
      <c r="O8" s="19">
        <f t="shared" si="1"/>
        <v>45669</v>
      </c>
      <c r="P8" s="19">
        <f t="shared" si="1"/>
        <v>45670</v>
      </c>
      <c r="Q8" s="19">
        <f t="shared" si="1"/>
        <v>45671</v>
      </c>
      <c r="R8" s="19">
        <f t="shared" si="1"/>
        <v>45672</v>
      </c>
      <c r="S8" s="19">
        <f t="shared" si="1"/>
        <v>45673</v>
      </c>
      <c r="T8" s="19">
        <f t="shared" si="1"/>
        <v>45674</v>
      </c>
      <c r="U8" s="19">
        <f t="shared" si="1"/>
        <v>45675</v>
      </c>
      <c r="V8" s="19">
        <f t="shared" si="1"/>
        <v>45676</v>
      </c>
      <c r="W8" s="19">
        <f t="shared" si="1"/>
        <v>45677</v>
      </c>
      <c r="X8" s="19">
        <f t="shared" si="1"/>
        <v>45678</v>
      </c>
      <c r="Y8" s="19">
        <f t="shared" si="1"/>
        <v>45679</v>
      </c>
      <c r="Z8" s="19">
        <f t="shared" si="1"/>
        <v>45680</v>
      </c>
      <c r="AA8" s="19">
        <f t="shared" si="1"/>
        <v>45681</v>
      </c>
      <c r="AB8" s="19">
        <f t="shared" si="1"/>
        <v>45682</v>
      </c>
      <c r="AC8" s="19">
        <f t="shared" si="1"/>
        <v>45683</v>
      </c>
      <c r="AD8" s="19">
        <f t="shared" si="1"/>
        <v>45684</v>
      </c>
      <c r="AE8" s="19">
        <f t="shared" si="1"/>
        <v>45685</v>
      </c>
      <c r="AF8" s="19">
        <f t="shared" si="1"/>
        <v>45686</v>
      </c>
      <c r="AG8" s="19">
        <f t="shared" si="1"/>
        <v>45687</v>
      </c>
      <c r="AH8" s="19">
        <f t="shared" si="1"/>
        <v>45688</v>
      </c>
      <c r="AI8" s="1"/>
      <c r="AJ8" s="27"/>
      <c r="AK8" s="29"/>
      <c r="AL8" s="1"/>
      <c r="AM8" s="1"/>
      <c r="AN8" s="1"/>
      <c r="AO8" s="1"/>
      <c r="AP8" s="1"/>
    </row>
    <row r="9" spans="2:42" ht="14.4" customHeight="1" x14ac:dyDescent="0.3">
      <c r="B9" s="11" t="s">
        <v>33</v>
      </c>
      <c r="C9" s="6" t="s">
        <v>14</v>
      </c>
      <c r="AJ9" s="5">
        <f t="shared" ref="AJ9:AJ27" si="2">COUNTIF(D9:AH9,$AJ$7)</f>
        <v>0</v>
      </c>
      <c r="AK9" s="12">
        <f t="shared" ref="AK9:AK27" si="3">COUNTIF(D9:AH9,$AK$7)</f>
        <v>0</v>
      </c>
      <c r="AO9" s="2"/>
    </row>
    <row r="10" spans="2:42" ht="14.4" customHeight="1" x14ac:dyDescent="0.3">
      <c r="B10" s="11" t="s">
        <v>34</v>
      </c>
      <c r="C10" s="6" t="s">
        <v>15</v>
      </c>
      <c r="AJ10" s="5">
        <f t="shared" si="2"/>
        <v>0</v>
      </c>
      <c r="AK10" s="12">
        <f t="shared" si="3"/>
        <v>0</v>
      </c>
    </row>
    <row r="11" spans="2:42" ht="14.4" customHeight="1" x14ac:dyDescent="0.3">
      <c r="B11" s="11" t="s">
        <v>35</v>
      </c>
      <c r="C11" s="6" t="s">
        <v>16</v>
      </c>
      <c r="AJ11" s="5">
        <f t="shared" si="2"/>
        <v>0</v>
      </c>
      <c r="AK11" s="12">
        <f t="shared" si="3"/>
        <v>0</v>
      </c>
    </row>
    <row r="12" spans="2:42" ht="14.4" customHeight="1" x14ac:dyDescent="0.3">
      <c r="B12" s="11" t="s">
        <v>36</v>
      </c>
      <c r="C12" s="6" t="s">
        <v>17</v>
      </c>
      <c r="AJ12" s="5">
        <f t="shared" si="2"/>
        <v>0</v>
      </c>
      <c r="AK12" s="12">
        <f t="shared" si="3"/>
        <v>0</v>
      </c>
    </row>
    <row r="13" spans="2:42" ht="14.4" customHeight="1" x14ac:dyDescent="0.3">
      <c r="B13" s="11" t="s">
        <v>37</v>
      </c>
      <c r="C13" s="6" t="s">
        <v>18</v>
      </c>
      <c r="AJ13" s="5">
        <f t="shared" si="2"/>
        <v>0</v>
      </c>
      <c r="AK13" s="12">
        <f t="shared" si="3"/>
        <v>0</v>
      </c>
    </row>
    <row r="14" spans="2:42" ht="14.4" customHeight="1" x14ac:dyDescent="0.3">
      <c r="B14" s="11" t="s">
        <v>38</v>
      </c>
      <c r="C14" s="6" t="s">
        <v>19</v>
      </c>
      <c r="AJ14" s="5">
        <f t="shared" si="2"/>
        <v>0</v>
      </c>
      <c r="AK14" s="12">
        <f t="shared" si="3"/>
        <v>0</v>
      </c>
    </row>
    <row r="15" spans="2:42" ht="14.4" customHeight="1" x14ac:dyDescent="0.3">
      <c r="B15" s="11" t="s">
        <v>39</v>
      </c>
      <c r="C15" s="6" t="s">
        <v>20</v>
      </c>
      <c r="AJ15" s="5">
        <f t="shared" si="2"/>
        <v>0</v>
      </c>
      <c r="AK15" s="12">
        <f t="shared" si="3"/>
        <v>0</v>
      </c>
    </row>
    <row r="16" spans="2:42" ht="14.4" customHeight="1" x14ac:dyDescent="0.3">
      <c r="B16" s="11" t="s">
        <v>40</v>
      </c>
      <c r="C16" s="6" t="s">
        <v>21</v>
      </c>
      <c r="AJ16" s="5">
        <f t="shared" si="2"/>
        <v>0</v>
      </c>
      <c r="AK16" s="12">
        <f t="shared" si="3"/>
        <v>0</v>
      </c>
    </row>
    <row r="17" spans="2:37" ht="14.4" customHeight="1" x14ac:dyDescent="0.3">
      <c r="B17" s="11" t="s">
        <v>41</v>
      </c>
      <c r="C17" s="6" t="s">
        <v>22</v>
      </c>
      <c r="AJ17" s="5">
        <f t="shared" si="2"/>
        <v>0</v>
      </c>
      <c r="AK17" s="12">
        <f t="shared" si="3"/>
        <v>0</v>
      </c>
    </row>
    <row r="18" spans="2:37" ht="14.4" customHeight="1" x14ac:dyDescent="0.3">
      <c r="B18" s="11" t="s">
        <v>42</v>
      </c>
      <c r="C18" s="6" t="s">
        <v>23</v>
      </c>
      <c r="AJ18" s="5">
        <f t="shared" si="2"/>
        <v>0</v>
      </c>
      <c r="AK18" s="12">
        <f t="shared" si="3"/>
        <v>0</v>
      </c>
    </row>
    <row r="19" spans="2:37" ht="14.4" customHeight="1" x14ac:dyDescent="0.3">
      <c r="B19" s="11" t="s">
        <v>43</v>
      </c>
      <c r="C19" s="6" t="s">
        <v>24</v>
      </c>
      <c r="AJ19" s="5">
        <f t="shared" si="2"/>
        <v>0</v>
      </c>
      <c r="AK19" s="12">
        <f t="shared" si="3"/>
        <v>0</v>
      </c>
    </row>
    <row r="20" spans="2:37" ht="14.4" customHeight="1" x14ac:dyDescent="0.3">
      <c r="B20" s="11" t="s">
        <v>44</v>
      </c>
      <c r="C20" s="6" t="s">
        <v>25</v>
      </c>
      <c r="AJ20" s="5">
        <f t="shared" si="2"/>
        <v>0</v>
      </c>
      <c r="AK20" s="12">
        <f t="shared" si="3"/>
        <v>0</v>
      </c>
    </row>
    <row r="21" spans="2:37" ht="14.4" customHeight="1" x14ac:dyDescent="0.3">
      <c r="B21" s="11" t="s">
        <v>45</v>
      </c>
      <c r="C21" s="6" t="s">
        <v>26</v>
      </c>
      <c r="AJ21" s="5">
        <f t="shared" si="2"/>
        <v>0</v>
      </c>
      <c r="AK21" s="12">
        <f t="shared" si="3"/>
        <v>0</v>
      </c>
    </row>
    <row r="22" spans="2:37" ht="14.4" customHeight="1" x14ac:dyDescent="0.3">
      <c r="B22" s="11" t="s">
        <v>46</v>
      </c>
      <c r="C22" s="6" t="s">
        <v>27</v>
      </c>
      <c r="AJ22" s="5">
        <f t="shared" si="2"/>
        <v>0</v>
      </c>
      <c r="AK22" s="12">
        <f t="shared" si="3"/>
        <v>0</v>
      </c>
    </row>
    <row r="23" spans="2:37" ht="14.4" customHeight="1" x14ac:dyDescent="0.3">
      <c r="B23" s="11" t="s">
        <v>47</v>
      </c>
      <c r="C23" s="6" t="s">
        <v>28</v>
      </c>
      <c r="AJ23" s="5">
        <f t="shared" si="2"/>
        <v>0</v>
      </c>
      <c r="AK23" s="12">
        <f t="shared" si="3"/>
        <v>0</v>
      </c>
    </row>
    <row r="24" spans="2:37" ht="14.4" customHeight="1" x14ac:dyDescent="0.3">
      <c r="B24" s="11" t="s">
        <v>48</v>
      </c>
      <c r="C24" s="6" t="s">
        <v>29</v>
      </c>
      <c r="AJ24" s="5">
        <f t="shared" si="2"/>
        <v>0</v>
      </c>
      <c r="AK24" s="12">
        <f t="shared" si="3"/>
        <v>0</v>
      </c>
    </row>
    <row r="25" spans="2:37" ht="14.4" customHeight="1" x14ac:dyDescent="0.3">
      <c r="B25" s="11" t="s">
        <v>49</v>
      </c>
      <c r="C25" s="6" t="s">
        <v>30</v>
      </c>
      <c r="AJ25" s="5">
        <f t="shared" si="2"/>
        <v>0</v>
      </c>
      <c r="AK25" s="12">
        <f t="shared" si="3"/>
        <v>0</v>
      </c>
    </row>
    <row r="26" spans="2:37" ht="14.4" customHeight="1" x14ac:dyDescent="0.3">
      <c r="B26" s="11" t="s">
        <v>50</v>
      </c>
      <c r="C26" s="6" t="s">
        <v>31</v>
      </c>
      <c r="AJ26" s="5">
        <f t="shared" si="2"/>
        <v>0</v>
      </c>
      <c r="AK26" s="12">
        <f t="shared" si="3"/>
        <v>0</v>
      </c>
    </row>
    <row r="27" spans="2:37" ht="14.4" customHeight="1" thickBot="1" x14ac:dyDescent="0.35">
      <c r="B27" s="13" t="s">
        <v>51</v>
      </c>
      <c r="C27" s="14" t="s">
        <v>32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6">
        <f t="shared" si="2"/>
        <v>0</v>
      </c>
      <c r="AK27" s="17">
        <f t="shared" si="3"/>
        <v>0</v>
      </c>
    </row>
    <row r="28" spans="2:37" ht="14.4" customHeight="1" x14ac:dyDescent="0.3"/>
  </sheetData>
  <mergeCells count="6">
    <mergeCell ref="B2:C3"/>
    <mergeCell ref="B7:B8"/>
    <mergeCell ref="C7:C8"/>
    <mergeCell ref="AJ7:AJ8"/>
    <mergeCell ref="AK7:AK8"/>
    <mergeCell ref="D2:AK6"/>
  </mergeCells>
  <phoneticPr fontId="1" type="noConversion"/>
  <conditionalFormatting sqref="D7:AH8">
    <cfRule type="notContainsBlanks" dxfId="3" priority="1">
      <formula>LEN(TRIM(D7))&gt;0</formula>
    </cfRule>
  </conditionalFormatting>
  <conditionalFormatting sqref="D9:AH27">
    <cfRule type="containsText" dxfId="2" priority="2" operator="containsText" text="A">
      <formula>NOT(ISERROR(SEARCH("A",D9)))</formula>
    </cfRule>
    <cfRule type="expression" dxfId="1" priority="3">
      <formula>D$7&lt;&gt;""</formula>
    </cfRule>
    <cfRule type="expression" dxfId="0" priority="4">
      <formula>D$7="Sun"</formula>
    </cfRule>
  </conditionalFormatting>
  <dataValidations count="2">
    <dataValidation type="list" allowBlank="1" showInputMessage="1" showErrorMessage="1" sqref="C5" xr:uid="{A03009B5-6EA9-4A78-B8B6-EE94876A89C7}">
      <formula1>"2025,2026,2027,2028,2029,2030"</formula1>
    </dataValidation>
    <dataValidation type="custom" allowBlank="1" showInputMessage="1" showErrorMessage="1" errorTitle="Info" error="Weekly Off" sqref="D9:AH27" xr:uid="{0BAD86FE-2168-4727-B49F-8C747530223C}">
      <formula1>D$7&lt;&gt;"Sun"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08F68A-82AC-4C23-9690-717BF77F21BD}">
          <x14:formula1>
            <xm:f>Sheet2!$C$3:$C$14</xm:f>
          </x14:formula1>
          <xm:sqref>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1E58C-F20A-4777-A51B-A963FC55D807}">
  <dimension ref="C3:C14"/>
  <sheetViews>
    <sheetView workbookViewId="0">
      <selection activeCell="E3" sqref="E3:E8"/>
    </sheetView>
  </sheetViews>
  <sheetFormatPr defaultRowHeight="14.4" x14ac:dyDescent="0.3"/>
  <sheetData>
    <row r="3" spans="3:3" x14ac:dyDescent="0.3">
      <c r="C3" t="s">
        <v>2</v>
      </c>
    </row>
    <row r="4" spans="3:3" x14ac:dyDescent="0.3">
      <c r="C4" t="s">
        <v>3</v>
      </c>
    </row>
    <row r="5" spans="3:3" x14ac:dyDescent="0.3">
      <c r="C5" t="s">
        <v>4</v>
      </c>
    </row>
    <row r="6" spans="3:3" x14ac:dyDescent="0.3">
      <c r="C6" t="s">
        <v>5</v>
      </c>
    </row>
    <row r="7" spans="3:3" x14ac:dyDescent="0.3">
      <c r="C7" t="s">
        <v>6</v>
      </c>
    </row>
    <row r="8" spans="3:3" x14ac:dyDescent="0.3">
      <c r="C8" t="s">
        <v>7</v>
      </c>
    </row>
    <row r="9" spans="3:3" x14ac:dyDescent="0.3">
      <c r="C9" t="s">
        <v>8</v>
      </c>
    </row>
    <row r="10" spans="3:3" x14ac:dyDescent="0.3">
      <c r="C10" t="s">
        <v>9</v>
      </c>
    </row>
    <row r="11" spans="3:3" x14ac:dyDescent="0.3">
      <c r="C11" t="s">
        <v>10</v>
      </c>
    </row>
    <row r="12" spans="3:3" x14ac:dyDescent="0.3">
      <c r="C12" t="s">
        <v>11</v>
      </c>
    </row>
    <row r="13" spans="3:3" x14ac:dyDescent="0.3">
      <c r="C13" t="s">
        <v>12</v>
      </c>
    </row>
    <row r="14" spans="3:3" x14ac:dyDescent="0.3">
      <c r="C1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Ayushman Singh</dc:creator>
  <cp:lastModifiedBy>Ayushman Singh</cp:lastModifiedBy>
  <dcterms:created xsi:type="dcterms:W3CDTF">2025-06-20T21:11:38Z</dcterms:created>
  <dcterms:modified xsi:type="dcterms:W3CDTF">2025-11-10T09:00:12Z</dcterms:modified>
</cp:coreProperties>
</file>